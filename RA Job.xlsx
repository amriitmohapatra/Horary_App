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amriitmohapatra/Documents/Horary_App/"/>
    </mc:Choice>
  </mc:AlternateContent>
  <xr:revisionPtr revIDLastSave="0" documentId="13_ncr:1_{386FA5BB-7648-8643-AB66-2001B4321481}" xr6:coauthVersionLast="47" xr6:coauthVersionMax="47" xr10:uidLastSave="{00000000-0000-0000-0000-000000000000}"/>
  <bookViews>
    <workbookView xWindow="0" yWindow="66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F22" i="2"/>
  <c r="E22" i="2"/>
</calcChain>
</file>

<file path=xl/sharedStrings.xml><?xml version="1.0" encoding="utf-8"?>
<sst xmlns="http://schemas.openxmlformats.org/spreadsheetml/2006/main" count="244" uniqueCount="144">
  <si>
    <t>I have been interviewed for a job role of Research Assistant (Quantitative) at Saw Swee Hock School of Public Health, National University of Singapore. Will I be selected?</t>
  </si>
  <si>
    <t>Amriit Mohapatra</t>
  </si>
  <si>
    <t xml:space="preserve"> Mar</t>
  </si>
  <si>
    <t xml:space="preserve"> Jup</t>
  </si>
  <si>
    <t xml:space="preserve"> Ra</t>
  </si>
  <si>
    <t>Singapore</t>
  </si>
  <si>
    <t xml:space="preserve"> Sat</t>
  </si>
  <si>
    <t xml:space="preserve"> Sun</t>
  </si>
  <si>
    <t xml:space="preserve"> Mer</t>
  </si>
  <si>
    <t xml:space="preserve"> Ven</t>
  </si>
  <si>
    <t xml:space="preserve"> Mon</t>
  </si>
  <si>
    <t xml:space="preserve"> Ke</t>
  </si>
  <si>
    <t>HOUSE CUSPS (Topocentric)</t>
  </si>
  <si>
    <t>CHART POINTS</t>
  </si>
  <si>
    <t xml:space="preserve"> Point</t>
  </si>
  <si>
    <t>Longitude</t>
  </si>
  <si>
    <t xml:space="preserve"> 3 16°Le10'57'' Ve/Su</t>
  </si>
  <si>
    <t>7 17°Sg11'03'' Ve/Mo</t>
  </si>
  <si>
    <t>11 20°Ar13'10'' Ve/Ju</t>
  </si>
  <si>
    <t>08°Sg17'23'' Ke/Ju</t>
  </si>
  <si>
    <t>07°Sg26'08'' Ke/Ra</t>
  </si>
  <si>
    <t>27°Sg23'04'' Su/Mo</t>
  </si>
  <si>
    <t>22°Sg32'25'' Ve/Sa</t>
  </si>
  <si>
    <t>18°Ar09'42'' Ve/Ra</t>
  </si>
  <si>
    <t>4 18°Vi39'49'' Mo/Me</t>
  </si>
  <si>
    <t>8 15°Cp28'08'' Mo/Ju</t>
  </si>
  <si>
    <t>12 19°Ta22'30'' Mo/Me</t>
  </si>
  <si>
    <t>16°Ta44'04'' Mo/Sa</t>
  </si>
  <si>
    <t>27°Cp25'46'' Ma/Ju</t>
  </si>
  <si>
    <t xml:space="preserve"> 1 17°Ge11'03'' Ra/Ve</t>
  </si>
  <si>
    <t>5 20°Li13'10'' Ju/Ju</t>
  </si>
  <si>
    <t>9 16°Aq10'57'' Ra/Ve</t>
  </si>
  <si>
    <t>18°Li09'42'' Ra/Mo</t>
  </si>
  <si>
    <t xml:space="preserve"> 2 15°Cn28'08'' Sa/Ju</t>
  </si>
  <si>
    <t>6 19°Sc22'30'' Me/Ve</t>
  </si>
  <si>
    <t>10 18°Pi39'49'' Me/Ke</t>
  </si>
  <si>
    <t>06°Pi05'30'' Sa/Me</t>
  </si>
  <si>
    <t>18°Li09'42'' Ra/Mo-4</t>
  </si>
  <si>
    <t>18°Ar09'42'' Ve/Ra-10</t>
  </si>
  <si>
    <t>08°Sg17'23'' Ke/Ju-6</t>
  </si>
  <si>
    <t>07°Sg26'08'' Ke/Ra-6</t>
  </si>
  <si>
    <t>27°Sg23'04'' Su/Mo-7</t>
  </si>
  <si>
    <t>22°Sg32'25'' Ve/Sa-7</t>
  </si>
  <si>
    <t>27°Cp25'46'' Ma/Ju-8</t>
  </si>
  <si>
    <t>06°Pi05'30'' Sa/Me-9</t>
  </si>
  <si>
    <t>16°Ta44'04'' Mo/Sa-11</t>
  </si>
  <si>
    <t>6,2</t>
  </si>
  <si>
    <t>6,3</t>
  </si>
  <si>
    <t>7,1,4</t>
  </si>
  <si>
    <t>7,5,12</t>
  </si>
  <si>
    <t>11,6,11</t>
  </si>
  <si>
    <t>9,7,10</t>
  </si>
  <si>
    <t>8,8,9</t>
  </si>
  <si>
    <t>11,10,6,11</t>
  </si>
  <si>
    <t>7,4,5,12</t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</si>
  <si>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</si>
  <si>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</si>
  <si>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</si>
  <si>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</si>
  <si>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</si>
  <si>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</si>
  <si>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</si>
  <si>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</si>
  <si>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</si>
  <si>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t>OCEAN</t>
  </si>
  <si>
    <t>17/12/22</t>
  </si>
  <si>
    <t>30/12/22</t>
  </si>
  <si>
    <t>I have received a job offer for Research Assistant at Saw Swee Hock School of Public Health, National University of Singapore. When will I receive official letter of appointment?</t>
  </si>
  <si>
    <t>SG</t>
  </si>
  <si>
    <t>4 06°Sg03'58'' Ke/Ra</t>
  </si>
  <si>
    <t>8 08°Ar05'14'' Ke/Ju</t>
  </si>
  <si>
    <t>12 04°Le06'28'' Ke/Mo</t>
  </si>
  <si>
    <t>26°Le13'36'' Ve/Ke</t>
  </si>
  <si>
    <t>12°Ar58'57'' Ke/Me</t>
  </si>
  <si>
    <t xml:space="preserve"> 1 06°Vi06'33'' Su/Me</t>
  </si>
  <si>
    <t>5 04°Cp08'21'' Su/Sa</t>
  </si>
  <si>
    <t>9 08°Ta00'45'' Su/Ve</t>
  </si>
  <si>
    <t>25°Cp20'49'' Ma/Ra</t>
  </si>
  <si>
    <t>01°Cp56'05'' Su/Ju</t>
  </si>
  <si>
    <t>17°Ta57'25'' Mo/Me</t>
  </si>
  <si>
    <t xml:space="preserve"> 2 08°Li05'14'' Ra/Ra</t>
  </si>
  <si>
    <t>6 04°Aq06'28'' Ma/Ve</t>
  </si>
  <si>
    <t>10 06°Ge03'58'' Ma/Mo</t>
  </si>
  <si>
    <t>21°Aq18'45'' Ju/Ju</t>
  </si>
  <si>
    <t>02°Aq34'49'' Ma/Ke</t>
  </si>
  <si>
    <t>12°Li58'57'' Ra/Me</t>
  </si>
  <si>
    <t xml:space="preserve"> 3 08°Sc00'45'' Sa/Ke</t>
  </si>
  <si>
    <t>7 06°Pi06'33'' Sa/Me</t>
  </si>
  <si>
    <t>11 04°Cn08'21'' Sa/Sa</t>
  </si>
  <si>
    <t>13°Pi20'51'' Sa/Ra</t>
  </si>
  <si>
    <t>12°Li58'57'' Ra/Me-2</t>
  </si>
  <si>
    <t>12°Ar58'57'' Ke/Me-8</t>
  </si>
  <si>
    <t>13°Pi20'51'' Sa/Ra-7</t>
  </si>
  <si>
    <t>21°Aq18'45'' Ju/Ju-6</t>
  </si>
  <si>
    <t>02°Aq34'49'' Ma/Ke-5</t>
  </si>
  <si>
    <t>25°Cp20'49'' Ma/Ra-5</t>
  </si>
  <si>
    <t>01°Cp56'05'' Su/Ju-4</t>
  </si>
  <si>
    <t>26°Le13'36'' Ve/Ke-12</t>
  </si>
  <si>
    <t>17°Ta57'25'' Mo/Me-9</t>
  </si>
  <si>
    <t>12,11</t>
  </si>
  <si>
    <t>5,12</t>
  </si>
  <si>
    <t>4,1,10</t>
  </si>
  <si>
    <t>6,2,9</t>
  </si>
  <si>
    <t>9,3,8</t>
  </si>
  <si>
    <t>7,4,7</t>
  </si>
  <si>
    <t>5,5,6</t>
  </si>
  <si>
    <t>9,8,3,8</t>
  </si>
  <si>
    <t>6,2,2,9</t>
  </si>
  <si>
    <r>
      <t>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</si>
  <si>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</si>
  <si>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</si>
  <si>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</si>
  <si>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</si>
  <si>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</si>
  <si>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</si>
  <si>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</si>
  <si>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</si>
  <si>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t>Received appointment letter on 15th February, 2023 at 8:47 am.</t>
  </si>
  <si>
    <t>Ve-Ke-Ra-Ju-Ve</t>
  </si>
  <si>
    <t>In Birth Chart</t>
  </si>
  <si>
    <t>Me-Me-Me-Ju-Ju</t>
  </si>
  <si>
    <t>In D10 chart, Me is in 2nd house, Ju in 4th.</t>
  </si>
  <si>
    <t>Me is Yogi.</t>
  </si>
  <si>
    <t xml:space="preserve"> 1 06°Vi06'33''</t>
  </si>
  <si>
    <t xml:space="preserve"> 2 08°Li05'14''</t>
  </si>
  <si>
    <t xml:space="preserve"> 3 08°Sc00'45''</t>
  </si>
  <si>
    <t>4 06°Sg03'58''</t>
  </si>
  <si>
    <t>5 04°Cp08'21''</t>
  </si>
  <si>
    <t xml:space="preserve">6 04°Aq06'28'' </t>
  </si>
  <si>
    <t xml:space="preserve">7 06°Pi06'33'' </t>
  </si>
  <si>
    <t xml:space="preserve">8 08°Ar05'14'' </t>
  </si>
  <si>
    <t xml:space="preserve">9 08°Ta00'45'' </t>
  </si>
  <si>
    <t xml:space="preserve">10 06°Ge03'58'' </t>
  </si>
  <si>
    <t xml:space="preserve">11 04°Cn08'21'' </t>
  </si>
  <si>
    <t xml:space="preserve">12 04°Le06'28'' </t>
  </si>
  <si>
    <t xml:space="preserve">26°Le13'36'' </t>
  </si>
  <si>
    <t xml:space="preserve">25°Cp20'49'' </t>
  </si>
  <si>
    <t xml:space="preserve">01°Cp56'05'' </t>
  </si>
  <si>
    <t xml:space="preserve">21°Aq18'45'' </t>
  </si>
  <si>
    <t xml:space="preserve">17°Ta57'25'' </t>
  </si>
  <si>
    <t xml:space="preserve">13°Pi20'51'' </t>
  </si>
  <si>
    <t xml:space="preserve">02°Aq34'49'' </t>
  </si>
  <si>
    <t xml:space="preserve">12°Ar58'57'' </t>
  </si>
  <si>
    <t xml:space="preserve">12°Li58'57''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</si>
</sst>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0</xdr:rowOff>
    </xdr:from>
    <xdr:to>
      <xdr:col>7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2147201-C33A-4658-BAE8-D5B8EE0DDD28}"/>
            </a:ext>
          </a:extLst>
        </xdr:cNvPr>
        <xdr:cNvCxnSpPr/>
      </xdr:nvCxnSpPr>
      <xdr:spPr>
        <a:xfrm>
          <a:off x="1209675" y="736600"/>
          <a:ext cx="3057525" cy="131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5</xdr:row>
      <xdr:rowOff>9525</xdr:rowOff>
    </xdr:from>
    <xdr:to>
      <xdr:col>15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45C10B4-1102-4F35-931A-D2FAABF51B77}"/>
            </a:ext>
          </a:extLst>
        </xdr:cNvPr>
        <xdr:cNvCxnSpPr/>
      </xdr:nvCxnSpPr>
      <xdr:spPr>
        <a:xfrm flipV="1">
          <a:off x="6235700" y="746125"/>
          <a:ext cx="3038475" cy="128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17</xdr:row>
      <xdr:rowOff>19050</xdr:rowOff>
    </xdr:from>
    <xdr:to>
      <xdr:col>7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04AD5D5-7863-453F-9332-0BFA8EEFB5C6}"/>
            </a:ext>
          </a:extLst>
        </xdr:cNvPr>
        <xdr:cNvCxnSpPr/>
      </xdr:nvCxnSpPr>
      <xdr:spPr>
        <a:xfrm flipH="1">
          <a:off x="1228725" y="2965450"/>
          <a:ext cx="3038475" cy="163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15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8AC996D-8654-4921-8C94-1E66E4A0F7C2}"/>
            </a:ext>
          </a:extLst>
        </xdr:cNvPr>
        <xdr:cNvCxnSpPr/>
      </xdr:nvCxnSpPr>
      <xdr:spPr>
        <a:xfrm>
          <a:off x="6216650" y="2946400"/>
          <a:ext cx="3057525" cy="1654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0</xdr:rowOff>
    </xdr:from>
    <xdr:to>
      <xdr:col>7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434A4EA-A6C5-4F37-AAB5-25AA25151E27}"/>
            </a:ext>
          </a:extLst>
        </xdr:cNvPr>
        <xdr:cNvCxnSpPr/>
      </xdr:nvCxnSpPr>
      <xdr:spPr>
        <a:xfrm>
          <a:off x="4267200" y="736600"/>
          <a:ext cx="0" cy="130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</xdr:row>
      <xdr:rowOff>180975</xdr:rowOff>
    </xdr:from>
    <xdr:to>
      <xdr:col>10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DACA01A-61A8-45C7-8227-52B8A79FBA22}"/>
            </a:ext>
          </a:extLst>
        </xdr:cNvPr>
        <xdr:cNvCxnSpPr/>
      </xdr:nvCxnSpPr>
      <xdr:spPr>
        <a:xfrm>
          <a:off x="6226175" y="733425"/>
          <a:ext cx="0" cy="1292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16</xdr:row>
      <xdr:rowOff>171450</xdr:rowOff>
    </xdr:from>
    <xdr:to>
      <xdr:col>7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54FAD64-1EE2-43E5-9F25-3399B7733DE8}"/>
            </a:ext>
          </a:extLst>
        </xdr:cNvPr>
        <xdr:cNvCxnSpPr/>
      </xdr:nvCxnSpPr>
      <xdr:spPr>
        <a:xfrm>
          <a:off x="4276725" y="2933700"/>
          <a:ext cx="0" cy="167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180975</xdr:rowOff>
    </xdr:from>
    <xdr:to>
      <xdr:col>10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8E212E9-1602-44ED-8BF3-F19081B5181D}"/>
            </a:ext>
          </a:extLst>
        </xdr:cNvPr>
        <xdr:cNvCxnSpPr/>
      </xdr:nvCxnSpPr>
      <xdr:spPr>
        <a:xfrm>
          <a:off x="6216650" y="2943225"/>
          <a:ext cx="0" cy="166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9525</xdr:rowOff>
    </xdr:from>
    <xdr:to>
      <xdr:col>15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8C6B38E-0200-4204-87C2-C035DFE406F1}"/>
            </a:ext>
          </a:extLst>
        </xdr:cNvPr>
        <xdr:cNvCxnSpPr/>
      </xdr:nvCxnSpPr>
      <xdr:spPr>
        <a:xfrm>
          <a:off x="1219200" y="2035175"/>
          <a:ext cx="8064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180975</xdr:rowOff>
    </xdr:from>
    <xdr:to>
      <xdr:col>15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809B220-C79B-45EA-A39B-000DDBB607E9}"/>
            </a:ext>
          </a:extLst>
        </xdr:cNvPr>
        <xdr:cNvCxnSpPr/>
      </xdr:nvCxnSpPr>
      <xdr:spPr>
        <a:xfrm>
          <a:off x="1219200" y="2943225"/>
          <a:ext cx="80645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12</xdr:row>
      <xdr:rowOff>28575</xdr:rowOff>
    </xdr:from>
    <xdr:to>
      <xdr:col>7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242FAA0-02F2-4DC0-8F64-09BC7DC7C701}"/>
            </a:ext>
          </a:extLst>
        </xdr:cNvPr>
        <xdr:cNvCxnSpPr/>
      </xdr:nvCxnSpPr>
      <xdr:spPr>
        <a:xfrm>
          <a:off x="4276725" y="2054225"/>
          <a:ext cx="0" cy="879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6442322-5FCF-4463-9E39-C68939CA878A}"/>
            </a:ext>
          </a:extLst>
        </xdr:cNvPr>
        <xdr:cNvCxnSpPr/>
      </xdr:nvCxnSpPr>
      <xdr:spPr>
        <a:xfrm flipH="1">
          <a:off x="6216650" y="2025650"/>
          <a:ext cx="9525" cy="920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37</xdr:row>
      <xdr:rowOff>0</xdr:rowOff>
    </xdr:from>
    <xdr:to>
      <xdr:col>15</xdr:col>
      <xdr:colOff>313829</xdr:colOff>
      <xdr:row>44</xdr:row>
      <xdr:rowOff>123626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617D40-9F82-3C7A-926A-D1CA856F4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6813550"/>
          <a:ext cx="3971429" cy="15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661260</xdr:colOff>
      <xdr:row>46</xdr:row>
      <xdr:rowOff>25400</xdr:rowOff>
    </xdr:from>
    <xdr:to>
      <xdr:col>12</xdr:col>
      <xdr:colOff>63140</xdr:colOff>
      <xdr:row>58</xdr:row>
      <xdr:rowOff>180536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F11EC65-4AE1-4DE0-4B2B-3EDE06E7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8060" y="8724900"/>
          <a:ext cx="1935530" cy="23649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7</xdr:row>
      <xdr:rowOff>0</xdr:rowOff>
    </xdr:from>
    <xdr:to>
      <xdr:col>7</xdr:col>
      <xdr:colOff>0</xdr:colOff>
      <xdr:row>14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080E1F7-274B-4725-A6EB-E9C6D0EE9C02}"/>
            </a:ext>
          </a:extLst>
        </xdr:cNvPr>
        <xdr:cNvCxnSpPr/>
      </xdr:nvCxnSpPr>
      <xdr:spPr>
        <a:xfrm>
          <a:off x="1209675" y="920750"/>
          <a:ext cx="3057525" cy="131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7</xdr:row>
      <xdr:rowOff>9525</xdr:rowOff>
    </xdr:from>
    <xdr:to>
      <xdr:col>15</xdr:col>
      <xdr:colOff>9525</xdr:colOff>
      <xdr:row>14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B00889E-3759-428A-AACD-D4B2D9239AEF}"/>
            </a:ext>
          </a:extLst>
        </xdr:cNvPr>
        <xdr:cNvCxnSpPr/>
      </xdr:nvCxnSpPr>
      <xdr:spPr>
        <a:xfrm flipV="1">
          <a:off x="6210300" y="930275"/>
          <a:ext cx="3038475" cy="128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19050</xdr:rowOff>
    </xdr:from>
    <xdr:to>
      <xdr:col>7</xdr:col>
      <xdr:colOff>0</xdr:colOff>
      <xdr:row>28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6CF0B28-ABC9-4E7F-BF07-A9DB5F9747CE}"/>
            </a:ext>
          </a:extLst>
        </xdr:cNvPr>
        <xdr:cNvCxnSpPr/>
      </xdr:nvCxnSpPr>
      <xdr:spPr>
        <a:xfrm flipH="1">
          <a:off x="1228725" y="3149600"/>
          <a:ext cx="3038475" cy="163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15</xdr:col>
      <xdr:colOff>9525</xdr:colOff>
      <xdr:row>27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3B0018B-5F10-4C71-88DB-469593433561}"/>
            </a:ext>
          </a:extLst>
        </xdr:cNvPr>
        <xdr:cNvCxnSpPr/>
      </xdr:nvCxnSpPr>
      <xdr:spPr>
        <a:xfrm>
          <a:off x="6191250" y="3130550"/>
          <a:ext cx="3057525" cy="1654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0</xdr:rowOff>
    </xdr:from>
    <xdr:to>
      <xdr:col>7</xdr:col>
      <xdr:colOff>0</xdr:colOff>
      <xdr:row>14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EE1A656-4AE8-457F-AF77-C145F82D0A71}"/>
            </a:ext>
          </a:extLst>
        </xdr:cNvPr>
        <xdr:cNvCxnSpPr/>
      </xdr:nvCxnSpPr>
      <xdr:spPr>
        <a:xfrm>
          <a:off x="4267200" y="920750"/>
          <a:ext cx="0" cy="130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6</xdr:row>
      <xdr:rowOff>180975</xdr:rowOff>
    </xdr:from>
    <xdr:to>
      <xdr:col>10</xdr:col>
      <xdr:colOff>9525</xdr:colOff>
      <xdr:row>14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B89C0A7-1619-41D6-84E3-354675E9F46A}"/>
            </a:ext>
          </a:extLst>
        </xdr:cNvPr>
        <xdr:cNvCxnSpPr/>
      </xdr:nvCxnSpPr>
      <xdr:spPr>
        <a:xfrm>
          <a:off x="6200775" y="917575"/>
          <a:ext cx="0" cy="1292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18</xdr:row>
      <xdr:rowOff>171450</xdr:rowOff>
    </xdr:from>
    <xdr:to>
      <xdr:col>7</xdr:col>
      <xdr:colOff>9525</xdr:colOff>
      <xdr:row>28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E58B4B5-2BDA-48CF-91EB-4DB417B85350}"/>
            </a:ext>
          </a:extLst>
        </xdr:cNvPr>
        <xdr:cNvCxnSpPr/>
      </xdr:nvCxnSpPr>
      <xdr:spPr>
        <a:xfrm>
          <a:off x="4276725" y="3117850"/>
          <a:ext cx="0" cy="167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180975</xdr:rowOff>
    </xdr:from>
    <xdr:to>
      <xdr:col>10</xdr:col>
      <xdr:colOff>0</xdr:colOff>
      <xdr:row>28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BE7F237-AF4F-4F30-A757-2CFFA3BF85C9}"/>
            </a:ext>
          </a:extLst>
        </xdr:cNvPr>
        <xdr:cNvCxnSpPr/>
      </xdr:nvCxnSpPr>
      <xdr:spPr>
        <a:xfrm>
          <a:off x="6191250" y="3127375"/>
          <a:ext cx="0" cy="166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9525</xdr:rowOff>
    </xdr:from>
    <xdr:to>
      <xdr:col>15</xdr:col>
      <xdr:colOff>19050</xdr:colOff>
      <xdr:row>14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229BA7E-3288-4006-9A51-8F5B6D9B18C7}"/>
            </a:ext>
          </a:extLst>
        </xdr:cNvPr>
        <xdr:cNvCxnSpPr/>
      </xdr:nvCxnSpPr>
      <xdr:spPr>
        <a:xfrm>
          <a:off x="1219200" y="2219325"/>
          <a:ext cx="8039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180975</xdr:rowOff>
    </xdr:from>
    <xdr:to>
      <xdr:col>15</xdr:col>
      <xdr:colOff>19050</xdr:colOff>
      <xdr:row>19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DD07656-AF5B-4DFC-A6A5-2BA2B7332EED}"/>
            </a:ext>
          </a:extLst>
        </xdr:cNvPr>
        <xdr:cNvCxnSpPr/>
      </xdr:nvCxnSpPr>
      <xdr:spPr>
        <a:xfrm>
          <a:off x="1219200" y="3127375"/>
          <a:ext cx="80391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14</xdr:row>
      <xdr:rowOff>28575</xdr:rowOff>
    </xdr:from>
    <xdr:to>
      <xdr:col>7</xdr:col>
      <xdr:colOff>9525</xdr:colOff>
      <xdr:row>18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53AA336-82C0-4713-8E15-AB9AE0707FCF}"/>
            </a:ext>
          </a:extLst>
        </xdr:cNvPr>
        <xdr:cNvCxnSpPr/>
      </xdr:nvCxnSpPr>
      <xdr:spPr>
        <a:xfrm>
          <a:off x="4276725" y="2238375"/>
          <a:ext cx="0" cy="879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9525</xdr:colOff>
      <xdr:row>19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8E63681-2AD3-40F8-AF97-9798D5796CE2}"/>
            </a:ext>
          </a:extLst>
        </xdr:cNvPr>
        <xdr:cNvCxnSpPr/>
      </xdr:nvCxnSpPr>
      <xdr:spPr>
        <a:xfrm flipH="1">
          <a:off x="6191250" y="2209800"/>
          <a:ext cx="9525" cy="920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266700</xdr:colOff>
      <xdr:row>38</xdr:row>
      <xdr:rowOff>127000</xdr:rowOff>
    </xdr:from>
    <xdr:to>
      <xdr:col>22</xdr:col>
      <xdr:colOff>586879</xdr:colOff>
      <xdr:row>46</xdr:row>
      <xdr:rowOff>34726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2D425AA-CE0F-6F37-CBFB-AAF07D728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7900" y="7391400"/>
          <a:ext cx="4358779" cy="1634926"/>
        </a:xfrm>
        <a:prstGeom prst="rect">
          <a:avLst/>
        </a:prstGeom>
      </xdr:spPr>
    </xdr:pic>
    <xdr:clientData/>
  </xdr:twoCellAnchor>
  <xdr:twoCellAnchor editAs="oneCell">
    <xdr:from>
      <xdr:col>16</xdr:col>
      <xdr:colOff>492875</xdr:colOff>
      <xdr:row>48</xdr:row>
      <xdr:rowOff>38100</xdr:rowOff>
    </xdr:from>
    <xdr:to>
      <xdr:col>20</xdr:col>
      <xdr:colOff>40893</xdr:colOff>
      <xdr:row>60</xdr:row>
      <xdr:rowOff>145617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E60B7F-B616-A087-A8AA-7ED68448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4075" y="9410700"/>
          <a:ext cx="2240418" cy="23935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23</xdr:row>
      <xdr:rowOff>0</xdr:rowOff>
    </xdr:from>
    <xdr:to>
      <xdr:col>14</xdr:col>
      <xdr:colOff>0</xdr:colOff>
      <xdr:row>30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BBE8DEB-F88A-B542-B346-53093193FB89}"/>
            </a:ext>
          </a:extLst>
        </xdr:cNvPr>
        <xdr:cNvCxnSpPr/>
      </xdr:nvCxnSpPr>
      <xdr:spPr>
        <a:xfrm>
          <a:off x="1273175" y="1333500"/>
          <a:ext cx="3438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23</xdr:row>
      <xdr:rowOff>9525</xdr:rowOff>
    </xdr:from>
    <xdr:to>
      <xdr:col>22</xdr:col>
      <xdr:colOff>9525</xdr:colOff>
      <xdr:row>30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FBED41-C2C1-5F4A-AAA7-0AEDF9A8FD4D}"/>
            </a:ext>
          </a:extLst>
        </xdr:cNvPr>
        <xdr:cNvCxnSpPr/>
      </xdr:nvCxnSpPr>
      <xdr:spPr>
        <a:xfrm flipV="1">
          <a:off x="6851650" y="1343025"/>
          <a:ext cx="33559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35</xdr:row>
      <xdr:rowOff>19050</xdr:rowOff>
    </xdr:from>
    <xdr:to>
      <xdr:col>14</xdr:col>
      <xdr:colOff>0</xdr:colOff>
      <xdr:row>44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CF93D2-6FEC-8D48-B902-E5C29FD777B7}"/>
            </a:ext>
          </a:extLst>
        </xdr:cNvPr>
        <xdr:cNvCxnSpPr/>
      </xdr:nvCxnSpPr>
      <xdr:spPr>
        <a:xfrm flipH="1">
          <a:off x="1355725" y="3638550"/>
          <a:ext cx="33559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35</xdr:row>
      <xdr:rowOff>0</xdr:rowOff>
    </xdr:from>
    <xdr:to>
      <xdr:col>22</xdr:col>
      <xdr:colOff>9525</xdr:colOff>
      <xdr:row>43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908F1E8-D158-824A-9DD9-FA42F5043805}"/>
            </a:ext>
          </a:extLst>
        </xdr:cNvPr>
        <xdr:cNvCxnSpPr/>
      </xdr:nvCxnSpPr>
      <xdr:spPr>
        <a:xfrm>
          <a:off x="6832600" y="3619500"/>
          <a:ext cx="33750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0</xdr:colOff>
      <xdr:row>30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77DEF0A-1DE9-124B-829A-B423D0048F2B}"/>
            </a:ext>
          </a:extLst>
        </xdr:cNvPr>
        <xdr:cNvCxnSpPr/>
      </xdr:nvCxnSpPr>
      <xdr:spPr>
        <a:xfrm>
          <a:off x="4711700" y="1333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22</xdr:row>
      <xdr:rowOff>180975</xdr:rowOff>
    </xdr:from>
    <xdr:to>
      <xdr:col>17</xdr:col>
      <xdr:colOff>9525</xdr:colOff>
      <xdr:row>30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257A6B4-C7BD-5641-92EC-10DF50E0E1D2}"/>
            </a:ext>
          </a:extLst>
        </xdr:cNvPr>
        <xdr:cNvCxnSpPr/>
      </xdr:nvCxnSpPr>
      <xdr:spPr>
        <a:xfrm>
          <a:off x="6842125" y="1323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34</xdr:row>
      <xdr:rowOff>171450</xdr:rowOff>
    </xdr:from>
    <xdr:to>
      <xdr:col>14</xdr:col>
      <xdr:colOff>9525</xdr:colOff>
      <xdr:row>44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BFB088A-D763-124F-A924-67F0F1CF5B41}"/>
            </a:ext>
          </a:extLst>
        </xdr:cNvPr>
        <xdr:cNvCxnSpPr/>
      </xdr:nvCxnSpPr>
      <xdr:spPr>
        <a:xfrm>
          <a:off x="4721225" y="3600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34</xdr:row>
      <xdr:rowOff>180975</xdr:rowOff>
    </xdr:from>
    <xdr:to>
      <xdr:col>17</xdr:col>
      <xdr:colOff>0</xdr:colOff>
      <xdr:row>44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914F9D1-E087-6F49-9DEC-1A3124B4B8C4}"/>
            </a:ext>
          </a:extLst>
        </xdr:cNvPr>
        <xdr:cNvCxnSpPr/>
      </xdr:nvCxnSpPr>
      <xdr:spPr>
        <a:xfrm>
          <a:off x="6832600" y="3609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30</xdr:row>
      <xdr:rowOff>9525</xdr:rowOff>
    </xdr:from>
    <xdr:to>
      <xdr:col>22</xdr:col>
      <xdr:colOff>19050</xdr:colOff>
      <xdr:row>30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A88A26A-7090-0447-9664-73BF34ADEF98}"/>
            </a:ext>
          </a:extLst>
        </xdr:cNvPr>
        <xdr:cNvCxnSpPr/>
      </xdr:nvCxnSpPr>
      <xdr:spPr>
        <a:xfrm>
          <a:off x="1346200" y="2676525"/>
          <a:ext cx="8870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34</xdr:row>
      <xdr:rowOff>180975</xdr:rowOff>
    </xdr:from>
    <xdr:to>
      <xdr:col>22</xdr:col>
      <xdr:colOff>19050</xdr:colOff>
      <xdr:row>35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CA3F7D2-0553-674B-8A50-BFE9D888DAF1}"/>
            </a:ext>
          </a:extLst>
        </xdr:cNvPr>
        <xdr:cNvCxnSpPr/>
      </xdr:nvCxnSpPr>
      <xdr:spPr>
        <a:xfrm>
          <a:off x="1346200" y="3609975"/>
          <a:ext cx="88709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30</xdr:row>
      <xdr:rowOff>28575</xdr:rowOff>
    </xdr:from>
    <xdr:to>
      <xdr:col>14</xdr:col>
      <xdr:colOff>9525</xdr:colOff>
      <xdr:row>34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35FA1C9-C46A-F94C-A8FC-66D2682A8971}"/>
            </a:ext>
          </a:extLst>
        </xdr:cNvPr>
        <xdr:cNvCxnSpPr/>
      </xdr:nvCxnSpPr>
      <xdr:spPr>
        <a:xfrm>
          <a:off x="4721225" y="2695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9525</xdr:colOff>
      <xdr:row>35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C068B34-F4E2-F34B-9773-E6918D7D85E0}"/>
            </a:ext>
          </a:extLst>
        </xdr:cNvPr>
        <xdr:cNvCxnSpPr/>
      </xdr:nvCxnSpPr>
      <xdr:spPr>
        <a:xfrm flipH="1">
          <a:off x="6832600" y="2667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opLeftCell="A32" zoomScaleNormal="100" workbookViewId="0">
      <selection activeCell="D51" sqref="D51"/>
    </sheetView>
  </sheetViews>
  <sheetFormatPr baseColWidth="10" defaultColWidth="8.83203125" defaultRowHeight="15" x14ac:dyDescent="0.2"/>
  <cols>
    <col min="9" max="9" width="10.1640625" bestFit="1" customWidth="1"/>
  </cols>
  <sheetData>
    <row r="1" spans="1:16" x14ac:dyDescent="0.2">
      <c r="A1" t="s">
        <v>0</v>
      </c>
    </row>
    <row r="2" spans="1:16" x14ac:dyDescent="0.2">
      <c r="A2" t="s">
        <v>1</v>
      </c>
    </row>
    <row r="6" spans="1:16" x14ac:dyDescent="0.2">
      <c r="C6" s="1"/>
      <c r="D6" t="s">
        <v>26</v>
      </c>
      <c r="H6" t="s">
        <v>18</v>
      </c>
      <c r="K6" t="s">
        <v>35</v>
      </c>
    </row>
    <row r="7" spans="1:16" x14ac:dyDescent="0.2">
      <c r="A7" t="s">
        <v>29</v>
      </c>
      <c r="D7" t="s">
        <v>2</v>
      </c>
      <c r="E7" t="s">
        <v>45</v>
      </c>
      <c r="H7" s="2"/>
      <c r="I7" s="2"/>
      <c r="K7" t="s">
        <v>3</v>
      </c>
      <c r="L7" t="s">
        <v>44</v>
      </c>
    </row>
    <row r="8" spans="1:16" x14ac:dyDescent="0.2">
      <c r="J8" s="1"/>
      <c r="O8" t="s">
        <v>31</v>
      </c>
    </row>
    <row r="9" spans="1:16" x14ac:dyDescent="0.2">
      <c r="B9" s="3"/>
      <c r="C9" s="2"/>
      <c r="H9" t="s">
        <v>4</v>
      </c>
      <c r="I9" t="s">
        <v>38</v>
      </c>
      <c r="L9" s="1"/>
      <c r="P9" s="2"/>
    </row>
    <row r="10" spans="1:16" x14ac:dyDescent="0.2">
      <c r="B10" s="4"/>
    </row>
    <row r="11" spans="1:16" x14ac:dyDescent="0.2">
      <c r="N11" s="1"/>
    </row>
    <row r="13" spans="1:16" x14ac:dyDescent="0.2">
      <c r="C13" t="s">
        <v>33</v>
      </c>
      <c r="H13" s="5"/>
      <c r="I13" s="5"/>
      <c r="N13" t="s">
        <v>25</v>
      </c>
    </row>
    <row r="14" spans="1:16" x14ac:dyDescent="0.2">
      <c r="C14" s="2"/>
      <c r="D14" s="2"/>
      <c r="H14" s="5"/>
      <c r="I14" s="5"/>
      <c r="J14" s="5"/>
      <c r="M14" s="2"/>
      <c r="N14" s="2"/>
    </row>
    <row r="15" spans="1:16" x14ac:dyDescent="0.2">
      <c r="C15" s="2"/>
      <c r="D15" s="2"/>
      <c r="H15" s="6"/>
      <c r="I15" s="5" t="s">
        <v>5</v>
      </c>
      <c r="J15" s="6"/>
      <c r="M15" t="s">
        <v>6</v>
      </c>
      <c r="N15" t="s">
        <v>43</v>
      </c>
    </row>
    <row r="16" spans="1:16" x14ac:dyDescent="0.2">
      <c r="C16" s="4"/>
      <c r="H16" s="7"/>
      <c r="I16" s="8">
        <v>44918</v>
      </c>
    </row>
    <row r="17" spans="1:15" x14ac:dyDescent="0.2">
      <c r="C17" s="1"/>
      <c r="I17" s="6">
        <v>0.82210648148148147</v>
      </c>
    </row>
    <row r="18" spans="1:15" x14ac:dyDescent="0.2">
      <c r="C18" t="s">
        <v>16</v>
      </c>
      <c r="N18" t="s">
        <v>17</v>
      </c>
    </row>
    <row r="19" spans="1:15" x14ac:dyDescent="0.2">
      <c r="N19" t="s">
        <v>10</v>
      </c>
      <c r="O19" t="s">
        <v>39</v>
      </c>
    </row>
    <row r="20" spans="1:15" x14ac:dyDescent="0.2">
      <c r="N20" t="s">
        <v>7</v>
      </c>
      <c r="O20" t="s">
        <v>40</v>
      </c>
    </row>
    <row r="21" spans="1:15" x14ac:dyDescent="0.2">
      <c r="C21" s="1"/>
      <c r="D21" s="1"/>
      <c r="L21" s="1"/>
      <c r="N21" t="s">
        <v>8</v>
      </c>
      <c r="O21" t="s">
        <v>41</v>
      </c>
    </row>
    <row r="22" spans="1:15" x14ac:dyDescent="0.2">
      <c r="C22" s="1"/>
      <c r="D22" s="1"/>
      <c r="L22" s="1"/>
      <c r="N22" t="s">
        <v>9</v>
      </c>
      <c r="O22" t="s">
        <v>42</v>
      </c>
    </row>
    <row r="24" spans="1:15" x14ac:dyDescent="0.2">
      <c r="H24" t="s">
        <v>11</v>
      </c>
      <c r="I24" t="s">
        <v>37</v>
      </c>
    </row>
    <row r="25" spans="1:15" x14ac:dyDescent="0.2">
      <c r="B25" s="2"/>
    </row>
    <row r="26" spans="1:15" x14ac:dyDescent="0.2">
      <c r="D26" t="s">
        <v>24</v>
      </c>
      <c r="H26" t="s">
        <v>30</v>
      </c>
      <c r="K26" t="s">
        <v>34</v>
      </c>
    </row>
    <row r="31" spans="1:15" x14ac:dyDescent="0.2">
      <c r="A31" t="s">
        <v>12</v>
      </c>
    </row>
    <row r="32" spans="1:15" x14ac:dyDescent="0.2">
      <c r="A32" t="s">
        <v>29</v>
      </c>
      <c r="D32" t="s">
        <v>24</v>
      </c>
      <c r="G32" t="s">
        <v>17</v>
      </c>
      <c r="J32" t="s">
        <v>35</v>
      </c>
    </row>
    <row r="33" spans="1:10" x14ac:dyDescent="0.2">
      <c r="A33" t="s">
        <v>33</v>
      </c>
      <c r="D33" t="s">
        <v>30</v>
      </c>
      <c r="G33" t="s">
        <v>25</v>
      </c>
      <c r="J33" t="s">
        <v>18</v>
      </c>
    </row>
    <row r="34" spans="1:10" x14ac:dyDescent="0.2">
      <c r="A34" t="s">
        <v>16</v>
      </c>
      <c r="D34" t="s">
        <v>34</v>
      </c>
      <c r="G34" t="s">
        <v>31</v>
      </c>
      <c r="J34" t="s">
        <v>26</v>
      </c>
    </row>
    <row r="36" spans="1:10" x14ac:dyDescent="0.2">
      <c r="A36" t="s">
        <v>13</v>
      </c>
    </row>
    <row r="37" spans="1:10" x14ac:dyDescent="0.2">
      <c r="A37" t="s">
        <v>14</v>
      </c>
      <c r="B37" t="s">
        <v>15</v>
      </c>
    </row>
    <row r="38" spans="1:10" ht="17" x14ac:dyDescent="0.2">
      <c r="A38" t="s">
        <v>10</v>
      </c>
      <c r="B38" t="s">
        <v>19</v>
      </c>
      <c r="D38" t="s">
        <v>46</v>
      </c>
      <c r="E38" t="s">
        <v>55</v>
      </c>
    </row>
    <row r="39" spans="1:10" ht="17" x14ac:dyDescent="0.2">
      <c r="A39" s="9" t="s">
        <v>7</v>
      </c>
      <c r="B39" s="9" t="s">
        <v>20</v>
      </c>
      <c r="C39" s="9"/>
      <c r="D39" s="9" t="s">
        <v>47</v>
      </c>
      <c r="E39" s="9" t="s">
        <v>56</v>
      </c>
      <c r="F39" s="9"/>
      <c r="G39" s="9"/>
      <c r="H39" s="9"/>
    </row>
    <row r="40" spans="1:10" ht="17" x14ac:dyDescent="0.2">
      <c r="A40" t="s">
        <v>8</v>
      </c>
      <c r="B40" t="s">
        <v>21</v>
      </c>
      <c r="D40" t="s">
        <v>48</v>
      </c>
      <c r="E40" t="s">
        <v>57</v>
      </c>
    </row>
    <row r="41" spans="1:10" ht="17" x14ac:dyDescent="0.2">
      <c r="A41" s="9" t="s">
        <v>9</v>
      </c>
      <c r="B41" s="9" t="s">
        <v>22</v>
      </c>
      <c r="C41" s="9"/>
      <c r="D41" s="9" t="s">
        <v>49</v>
      </c>
      <c r="E41" s="9" t="s">
        <v>58</v>
      </c>
      <c r="F41" s="9"/>
      <c r="G41" s="9"/>
      <c r="H41" s="9"/>
    </row>
    <row r="42" spans="1:10" ht="17" x14ac:dyDescent="0.2">
      <c r="A42" t="s">
        <v>2</v>
      </c>
      <c r="B42" t="s">
        <v>27</v>
      </c>
      <c r="D42" t="s">
        <v>50</v>
      </c>
      <c r="E42" t="s">
        <v>59</v>
      </c>
    </row>
    <row r="43" spans="1:10" ht="17" x14ac:dyDescent="0.2">
      <c r="A43" t="s">
        <v>3</v>
      </c>
      <c r="B43" t="s">
        <v>36</v>
      </c>
      <c r="D43" t="s">
        <v>51</v>
      </c>
      <c r="E43" t="s">
        <v>60</v>
      </c>
    </row>
    <row r="44" spans="1:10" ht="17" x14ac:dyDescent="0.2">
      <c r="A44" t="s">
        <v>6</v>
      </c>
      <c r="B44" t="s">
        <v>28</v>
      </c>
      <c r="D44" t="s">
        <v>52</v>
      </c>
      <c r="E44" t="s">
        <v>61</v>
      </c>
    </row>
    <row r="45" spans="1:10" ht="17" x14ac:dyDescent="0.2">
      <c r="A45" s="9" t="s">
        <v>4</v>
      </c>
      <c r="B45" s="9" t="s">
        <v>23</v>
      </c>
      <c r="C45" s="9"/>
      <c r="D45" s="9" t="s">
        <v>53</v>
      </c>
      <c r="E45" s="9" t="s">
        <v>62</v>
      </c>
      <c r="F45" s="9"/>
      <c r="G45" s="9"/>
      <c r="H45" s="9"/>
    </row>
    <row r="46" spans="1:10" ht="17" x14ac:dyDescent="0.2">
      <c r="A46" t="s">
        <v>11</v>
      </c>
      <c r="B46" t="s">
        <v>32</v>
      </c>
      <c r="D46" t="s">
        <v>54</v>
      </c>
      <c r="E46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4ED8-C6E3-4BE1-82C2-0C95C3A09786}">
  <dimension ref="C4:G22"/>
  <sheetViews>
    <sheetView topLeftCell="A3" workbookViewId="0">
      <selection activeCell="M17" sqref="M17"/>
    </sheetView>
  </sheetViews>
  <sheetFormatPr baseColWidth="10" defaultColWidth="8.83203125" defaultRowHeight="15" x14ac:dyDescent="0.2"/>
  <sheetData>
    <row r="4" spans="3:6" x14ac:dyDescent="0.2">
      <c r="C4" t="s">
        <v>64</v>
      </c>
    </row>
    <row r="5" spans="3:6" x14ac:dyDescent="0.2">
      <c r="C5" t="s">
        <v>66</v>
      </c>
      <c r="D5">
        <v>0.16933999999999999</v>
      </c>
      <c r="E5">
        <v>50</v>
      </c>
      <c r="F5">
        <v>304.98</v>
      </c>
    </row>
    <row r="6" spans="3:6" x14ac:dyDescent="0.2">
      <c r="D6">
        <v>0.16377</v>
      </c>
      <c r="E6">
        <v>50</v>
      </c>
      <c r="F6">
        <v>305.14999999999998</v>
      </c>
    </row>
    <row r="7" spans="3:6" x14ac:dyDescent="0.2">
      <c r="D7">
        <v>0.16907</v>
      </c>
      <c r="E7">
        <v>100</v>
      </c>
      <c r="F7">
        <v>591.42999999999995</v>
      </c>
    </row>
    <row r="8" spans="3:6" x14ac:dyDescent="0.2">
      <c r="D8">
        <v>0.17116999999999999</v>
      </c>
      <c r="E8">
        <v>50</v>
      </c>
      <c r="F8">
        <v>291.98</v>
      </c>
    </row>
    <row r="9" spans="3:6" x14ac:dyDescent="0.2">
      <c r="D9">
        <v>0.16966999999999999</v>
      </c>
      <c r="E9">
        <v>70</v>
      </c>
      <c r="F9">
        <v>412.63</v>
      </c>
    </row>
    <row r="10" spans="3:6" x14ac:dyDescent="0.2">
      <c r="D10">
        <v>0.17596999999999999</v>
      </c>
      <c r="E10">
        <v>100</v>
      </c>
      <c r="F10">
        <v>568.17999999999995</v>
      </c>
    </row>
    <row r="11" spans="3:6" x14ac:dyDescent="0.2">
      <c r="D11">
        <v>0.17427000000000001</v>
      </c>
      <c r="E11">
        <v>50</v>
      </c>
      <c r="F11">
        <v>286.08999999999997</v>
      </c>
    </row>
    <row r="12" spans="3:6" x14ac:dyDescent="0.2">
      <c r="D12">
        <v>0.17766999999999999</v>
      </c>
      <c r="E12">
        <v>50</v>
      </c>
      <c r="F12">
        <v>281.42</v>
      </c>
    </row>
    <row r="13" spans="3:6" x14ac:dyDescent="0.2">
      <c r="D13">
        <v>0.17071</v>
      </c>
      <c r="E13">
        <v>34</v>
      </c>
      <c r="F13">
        <v>197.78</v>
      </c>
    </row>
    <row r="14" spans="3:6" x14ac:dyDescent="0.2">
      <c r="D14">
        <v>0.17071</v>
      </c>
      <c r="E14">
        <v>66</v>
      </c>
      <c r="F14">
        <v>388</v>
      </c>
    </row>
    <row r="15" spans="3:6" x14ac:dyDescent="0.2">
      <c r="D15">
        <v>0.16994999999999999</v>
      </c>
      <c r="E15">
        <v>50</v>
      </c>
      <c r="F15">
        <v>295.12</v>
      </c>
    </row>
    <row r="16" spans="3:6" x14ac:dyDescent="0.2">
      <c r="D16">
        <v>0.16918</v>
      </c>
      <c r="E16">
        <v>100</v>
      </c>
      <c r="F16">
        <v>591.08000000000004</v>
      </c>
    </row>
    <row r="17" spans="3:7" x14ac:dyDescent="0.2">
      <c r="D17">
        <v>0.16297</v>
      </c>
      <c r="E17">
        <v>52</v>
      </c>
      <c r="F17">
        <v>318.02</v>
      </c>
    </row>
    <row r="18" spans="3:7" x14ac:dyDescent="0.2">
      <c r="D18">
        <v>0.16403999999999999</v>
      </c>
      <c r="E18">
        <v>50</v>
      </c>
      <c r="F18">
        <v>304.76</v>
      </c>
    </row>
    <row r="19" spans="3:7" x14ac:dyDescent="0.2">
      <c r="D19">
        <v>0.14906</v>
      </c>
      <c r="E19">
        <v>30</v>
      </c>
      <c r="F19">
        <v>201.09</v>
      </c>
    </row>
    <row r="20" spans="3:7" x14ac:dyDescent="0.2">
      <c r="D20">
        <v>0.15586</v>
      </c>
      <c r="E20">
        <v>22</v>
      </c>
      <c r="F20">
        <v>140.69999999999999</v>
      </c>
    </row>
    <row r="21" spans="3:7" x14ac:dyDescent="0.2">
      <c r="C21" t="s">
        <v>65</v>
      </c>
      <c r="D21">
        <v>0.15586</v>
      </c>
      <c r="E21">
        <v>12</v>
      </c>
      <c r="F21">
        <v>77</v>
      </c>
    </row>
    <row r="22" spans="3:7" x14ac:dyDescent="0.2">
      <c r="D22">
        <v>0.16848399999999999</v>
      </c>
      <c r="E22">
        <f>SUM(E5:E21)</f>
        <v>936</v>
      </c>
      <c r="F22">
        <f>SUM(F5:F21)</f>
        <v>5555.4100000000008</v>
      </c>
      <c r="G22">
        <f>E22/F22</f>
        <v>0.16848441429165442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37FD-7900-419F-B848-793DB969267C}">
  <dimension ref="A1:P55"/>
  <sheetViews>
    <sheetView tabSelected="1" topLeftCell="A55" workbookViewId="0">
      <selection activeCell="J22" sqref="J22"/>
    </sheetView>
  </sheetViews>
  <sheetFormatPr baseColWidth="10" defaultColWidth="8.83203125" defaultRowHeight="15" x14ac:dyDescent="0.2"/>
  <cols>
    <col min="9" max="9" width="10.1640625" bestFit="1" customWidth="1"/>
  </cols>
  <sheetData>
    <row r="1" spans="1:16" x14ac:dyDescent="0.2">
      <c r="A1" t="s">
        <v>67</v>
      </c>
    </row>
    <row r="2" spans="1:16" x14ac:dyDescent="0.2">
      <c r="A2" t="s">
        <v>1</v>
      </c>
    </row>
    <row r="8" spans="1:16" x14ac:dyDescent="0.2">
      <c r="C8" s="1"/>
      <c r="D8" t="s">
        <v>76</v>
      </c>
      <c r="H8" t="s">
        <v>70</v>
      </c>
      <c r="K8" t="s">
        <v>87</v>
      </c>
    </row>
    <row r="9" spans="1:16" x14ac:dyDescent="0.2">
      <c r="E9" t="s">
        <v>2</v>
      </c>
      <c r="F9" t="s">
        <v>98</v>
      </c>
      <c r="H9" s="2"/>
      <c r="I9" s="2"/>
      <c r="K9" t="s">
        <v>3</v>
      </c>
      <c r="L9" t="s">
        <v>92</v>
      </c>
    </row>
    <row r="10" spans="1:16" x14ac:dyDescent="0.2">
      <c r="B10" t="s">
        <v>82</v>
      </c>
      <c r="J10" s="1"/>
      <c r="O10" t="s">
        <v>81</v>
      </c>
    </row>
    <row r="11" spans="1:16" x14ac:dyDescent="0.2">
      <c r="B11" s="3"/>
      <c r="C11" s="2"/>
      <c r="H11" t="s">
        <v>4</v>
      </c>
      <c r="I11" t="s">
        <v>91</v>
      </c>
      <c r="L11" s="1"/>
      <c r="P11" s="2"/>
    </row>
    <row r="12" spans="1:16" x14ac:dyDescent="0.2">
      <c r="B12" s="4"/>
      <c r="N12" t="s">
        <v>9</v>
      </c>
      <c r="O12" t="s">
        <v>93</v>
      </c>
    </row>
    <row r="13" spans="1:16" x14ac:dyDescent="0.2">
      <c r="N13" t="s">
        <v>6</v>
      </c>
      <c r="O13" t="s">
        <v>94</v>
      </c>
    </row>
    <row r="15" spans="1:16" x14ac:dyDescent="0.2">
      <c r="B15" t="s">
        <v>88</v>
      </c>
      <c r="H15" s="5"/>
      <c r="I15" s="5"/>
      <c r="N15" t="s">
        <v>75</v>
      </c>
    </row>
    <row r="16" spans="1:16" x14ac:dyDescent="0.2">
      <c r="C16" s="2"/>
      <c r="D16" s="2"/>
      <c r="H16" s="5"/>
      <c r="I16" s="5" t="s">
        <v>68</v>
      </c>
      <c r="J16" s="5"/>
      <c r="M16" s="2"/>
      <c r="N16" s="2"/>
    </row>
    <row r="17" spans="1:15" x14ac:dyDescent="0.2">
      <c r="C17" s="2"/>
      <c r="D17" s="2"/>
      <c r="H17" s="6"/>
      <c r="I17" s="5">
        <v>44600</v>
      </c>
      <c r="J17" s="6"/>
      <c r="N17" t="s">
        <v>7</v>
      </c>
      <c r="O17" t="s">
        <v>95</v>
      </c>
    </row>
    <row r="18" spans="1:15" x14ac:dyDescent="0.2">
      <c r="C18" s="4"/>
      <c r="H18" s="7"/>
      <c r="I18" s="6">
        <v>0.91111111111111109</v>
      </c>
      <c r="N18" t="s">
        <v>8</v>
      </c>
      <c r="O18" t="s">
        <v>96</v>
      </c>
    </row>
    <row r="19" spans="1:15" x14ac:dyDescent="0.2">
      <c r="C19" s="1"/>
      <c r="I19" s="6"/>
    </row>
    <row r="23" spans="1:15" x14ac:dyDescent="0.2">
      <c r="B23" t="s">
        <v>10</v>
      </c>
      <c r="C23" t="s">
        <v>97</v>
      </c>
      <c r="D23" s="1"/>
      <c r="L23" s="1"/>
    </row>
    <row r="24" spans="1:15" x14ac:dyDescent="0.2">
      <c r="C24" s="1"/>
      <c r="D24" s="1"/>
      <c r="L24" s="1"/>
    </row>
    <row r="26" spans="1:15" x14ac:dyDescent="0.2">
      <c r="B26" t="s">
        <v>71</v>
      </c>
      <c r="H26" t="s">
        <v>11</v>
      </c>
      <c r="I26" t="s">
        <v>90</v>
      </c>
      <c r="O26" t="s">
        <v>69</v>
      </c>
    </row>
    <row r="27" spans="1:15" x14ac:dyDescent="0.2">
      <c r="B27" s="2"/>
    </row>
    <row r="28" spans="1:15" x14ac:dyDescent="0.2">
      <c r="D28" t="s">
        <v>74</v>
      </c>
      <c r="H28" t="s">
        <v>80</v>
      </c>
      <c r="K28" t="s">
        <v>86</v>
      </c>
    </row>
    <row r="31" spans="1:15" x14ac:dyDescent="0.2">
      <c r="A31" t="s">
        <v>12</v>
      </c>
    </row>
    <row r="32" spans="1:15" x14ac:dyDescent="0.2">
      <c r="A32" t="s">
        <v>74</v>
      </c>
      <c r="D32" t="s">
        <v>69</v>
      </c>
      <c r="G32" t="s">
        <v>87</v>
      </c>
      <c r="J32" t="s">
        <v>82</v>
      </c>
    </row>
    <row r="33" spans="1:10" x14ac:dyDescent="0.2">
      <c r="A33" t="s">
        <v>80</v>
      </c>
      <c r="D33" t="s">
        <v>75</v>
      </c>
      <c r="G33" t="s">
        <v>70</v>
      </c>
      <c r="J33" t="s">
        <v>88</v>
      </c>
    </row>
    <row r="34" spans="1:10" x14ac:dyDescent="0.2">
      <c r="A34" t="s">
        <v>86</v>
      </c>
      <c r="D34" t="s">
        <v>81</v>
      </c>
      <c r="G34" t="s">
        <v>76</v>
      </c>
      <c r="J34" t="s">
        <v>71</v>
      </c>
    </row>
    <row r="36" spans="1:10" x14ac:dyDescent="0.2">
      <c r="A36" t="s">
        <v>13</v>
      </c>
    </row>
    <row r="37" spans="1:10" x14ac:dyDescent="0.2">
      <c r="A37" t="s">
        <v>14</v>
      </c>
      <c r="B37" t="s">
        <v>15</v>
      </c>
    </row>
    <row r="38" spans="1:10" ht="17" x14ac:dyDescent="0.2">
      <c r="A38" t="s">
        <v>10</v>
      </c>
      <c r="B38" t="s">
        <v>72</v>
      </c>
      <c r="D38" t="s">
        <v>99</v>
      </c>
      <c r="E38" t="s">
        <v>108</v>
      </c>
    </row>
    <row r="39" spans="1:10" ht="17" x14ac:dyDescent="0.2">
      <c r="A39" t="s">
        <v>7</v>
      </c>
      <c r="B39" t="s">
        <v>77</v>
      </c>
      <c r="D39" t="s">
        <v>100</v>
      </c>
      <c r="E39" t="s">
        <v>109</v>
      </c>
    </row>
    <row r="40" spans="1:10" ht="17" x14ac:dyDescent="0.2">
      <c r="A40" t="s">
        <v>8</v>
      </c>
      <c r="B40" t="s">
        <v>78</v>
      </c>
      <c r="D40" t="s">
        <v>101</v>
      </c>
      <c r="E40" t="s">
        <v>110</v>
      </c>
    </row>
    <row r="41" spans="1:10" ht="17" x14ac:dyDescent="0.2">
      <c r="A41" t="s">
        <v>9</v>
      </c>
      <c r="B41" t="s">
        <v>83</v>
      </c>
      <c r="D41" t="s">
        <v>102</v>
      </c>
      <c r="E41" t="s">
        <v>111</v>
      </c>
    </row>
    <row r="42" spans="1:10" ht="17" x14ac:dyDescent="0.2">
      <c r="A42" t="s">
        <v>2</v>
      </c>
      <c r="B42" t="s">
        <v>79</v>
      </c>
      <c r="D42" t="s">
        <v>103</v>
      </c>
      <c r="E42" t="s">
        <v>112</v>
      </c>
    </row>
    <row r="43" spans="1:10" ht="17" x14ac:dyDescent="0.2">
      <c r="A43" t="s">
        <v>3</v>
      </c>
      <c r="B43" t="s">
        <v>89</v>
      </c>
      <c r="D43" t="s">
        <v>104</v>
      </c>
      <c r="E43" t="s">
        <v>113</v>
      </c>
    </row>
    <row r="44" spans="1:10" ht="17" x14ac:dyDescent="0.2">
      <c r="A44" t="s">
        <v>6</v>
      </c>
      <c r="B44" t="s">
        <v>84</v>
      </c>
      <c r="D44" t="s">
        <v>105</v>
      </c>
      <c r="E44" t="s">
        <v>114</v>
      </c>
    </row>
    <row r="45" spans="1:10" ht="17" x14ac:dyDescent="0.2">
      <c r="A45" t="s">
        <v>4</v>
      </c>
      <c r="B45" t="s">
        <v>73</v>
      </c>
      <c r="D45" t="s">
        <v>106</v>
      </c>
      <c r="E45" t="s">
        <v>115</v>
      </c>
    </row>
    <row r="46" spans="1:10" ht="17" x14ac:dyDescent="0.2">
      <c r="A46" t="s">
        <v>11</v>
      </c>
      <c r="B46" t="s">
        <v>85</v>
      </c>
      <c r="D46" t="s">
        <v>107</v>
      </c>
      <c r="E46" t="s">
        <v>116</v>
      </c>
    </row>
    <row r="49" spans="1:1" x14ac:dyDescent="0.2">
      <c r="A49" t="s">
        <v>117</v>
      </c>
    </row>
    <row r="50" spans="1:1" x14ac:dyDescent="0.2">
      <c r="A50" t="s">
        <v>118</v>
      </c>
    </row>
    <row r="52" spans="1:1" x14ac:dyDescent="0.2">
      <c r="A52" t="s">
        <v>119</v>
      </c>
    </row>
    <row r="53" spans="1:1" x14ac:dyDescent="0.2">
      <c r="A53" t="s">
        <v>120</v>
      </c>
    </row>
    <row r="54" spans="1:1" x14ac:dyDescent="0.2">
      <c r="A54" t="s">
        <v>121</v>
      </c>
    </row>
    <row r="55" spans="1:1" x14ac:dyDescent="0.2">
      <c r="A55" t="s">
        <v>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5D42-A7EA-8B4B-B757-6984571DF818}">
  <dimension ref="A1:W44"/>
  <sheetViews>
    <sheetView workbookViewId="0">
      <selection activeCell="K47" sqref="K47"/>
    </sheetView>
  </sheetViews>
  <sheetFormatPr baseColWidth="10" defaultRowHeight="15" x14ac:dyDescent="0.2"/>
  <sheetData>
    <row r="1" spans="1:10" x14ac:dyDescent="0.2">
      <c r="A1" t="s">
        <v>12</v>
      </c>
    </row>
    <row r="2" spans="1:10" x14ac:dyDescent="0.2">
      <c r="A2" t="s">
        <v>123</v>
      </c>
      <c r="D2" t="s">
        <v>126</v>
      </c>
      <c r="G2" t="s">
        <v>129</v>
      </c>
      <c r="J2" t="s">
        <v>132</v>
      </c>
    </row>
    <row r="3" spans="1:10" x14ac:dyDescent="0.2">
      <c r="A3" t="s">
        <v>124</v>
      </c>
      <c r="D3" t="s">
        <v>127</v>
      </c>
      <c r="G3" t="s">
        <v>130</v>
      </c>
      <c r="J3" t="s">
        <v>133</v>
      </c>
    </row>
    <row r="4" spans="1:10" x14ac:dyDescent="0.2">
      <c r="A4" t="s">
        <v>125</v>
      </c>
      <c r="D4" t="s">
        <v>128</v>
      </c>
      <c r="G4" t="s">
        <v>131</v>
      </c>
      <c r="J4" t="s">
        <v>134</v>
      </c>
    </row>
    <row r="6" spans="1:10" x14ac:dyDescent="0.2">
      <c r="A6" t="s">
        <v>13</v>
      </c>
    </row>
    <row r="7" spans="1:10" x14ac:dyDescent="0.2">
      <c r="A7" t="s">
        <v>14</v>
      </c>
      <c r="B7" t="s">
        <v>15</v>
      </c>
    </row>
    <row r="8" spans="1:10" x14ac:dyDescent="0.2">
      <c r="A8" t="s">
        <v>10</v>
      </c>
      <c r="B8" t="s">
        <v>135</v>
      </c>
    </row>
    <row r="9" spans="1:10" x14ac:dyDescent="0.2">
      <c r="A9" t="s">
        <v>7</v>
      </c>
      <c r="B9" t="s">
        <v>136</v>
      </c>
    </row>
    <row r="10" spans="1:10" x14ac:dyDescent="0.2">
      <c r="A10" t="s">
        <v>8</v>
      </c>
      <c r="B10" t="s">
        <v>137</v>
      </c>
    </row>
    <row r="11" spans="1:10" x14ac:dyDescent="0.2">
      <c r="A11" t="s">
        <v>9</v>
      </c>
      <c r="B11" t="s">
        <v>138</v>
      </c>
    </row>
    <row r="12" spans="1:10" x14ac:dyDescent="0.2">
      <c r="A12" t="s">
        <v>2</v>
      </c>
      <c r="B12" t="s">
        <v>139</v>
      </c>
    </row>
    <row r="13" spans="1:10" x14ac:dyDescent="0.2">
      <c r="A13" t="s">
        <v>3</v>
      </c>
      <c r="B13" t="s">
        <v>140</v>
      </c>
    </row>
    <row r="14" spans="1:10" x14ac:dyDescent="0.2">
      <c r="A14" t="s">
        <v>6</v>
      </c>
      <c r="B14" t="s">
        <v>141</v>
      </c>
    </row>
    <row r="15" spans="1:10" x14ac:dyDescent="0.2">
      <c r="A15" t="s">
        <v>4</v>
      </c>
      <c r="B15" t="s">
        <v>142</v>
      </c>
    </row>
    <row r="16" spans="1:10" x14ac:dyDescent="0.2">
      <c r="A16" t="s">
        <v>11</v>
      </c>
      <c r="B16" t="s">
        <v>143</v>
      </c>
    </row>
    <row r="24" spans="9:23" x14ac:dyDescent="0.2">
      <c r="J24" s="1"/>
      <c r="K24" t="s">
        <v>76</v>
      </c>
      <c r="O24" t="s">
        <v>70</v>
      </c>
      <c r="R24" t="s">
        <v>87</v>
      </c>
    </row>
    <row r="25" spans="9:23" x14ac:dyDescent="0.2">
      <c r="L25" t="s">
        <v>2</v>
      </c>
      <c r="M25" t="s">
        <v>98</v>
      </c>
      <c r="O25" s="2"/>
      <c r="P25" s="2"/>
      <c r="R25" t="s">
        <v>3</v>
      </c>
      <c r="S25" t="s">
        <v>92</v>
      </c>
    </row>
    <row r="26" spans="9:23" x14ac:dyDescent="0.2">
      <c r="I26" t="s">
        <v>82</v>
      </c>
      <c r="Q26" s="1"/>
      <c r="V26" t="s">
        <v>81</v>
      </c>
    </row>
    <row r="27" spans="9:23" x14ac:dyDescent="0.2">
      <c r="I27" s="3"/>
      <c r="J27" s="2"/>
      <c r="O27" t="s">
        <v>4</v>
      </c>
      <c r="P27" t="s">
        <v>91</v>
      </c>
      <c r="S27" s="1"/>
      <c r="W27" s="2"/>
    </row>
    <row r="28" spans="9:23" x14ac:dyDescent="0.2">
      <c r="I28" s="4"/>
      <c r="U28" t="s">
        <v>9</v>
      </c>
      <c r="V28" t="s">
        <v>93</v>
      </c>
    </row>
    <row r="29" spans="9:23" x14ac:dyDescent="0.2">
      <c r="U29" t="s">
        <v>6</v>
      </c>
      <c r="V29" t="s">
        <v>94</v>
      </c>
    </row>
    <row r="31" spans="9:23" x14ac:dyDescent="0.2">
      <c r="I31" t="s">
        <v>88</v>
      </c>
      <c r="O31" s="5"/>
      <c r="P31" s="5"/>
      <c r="U31" t="s">
        <v>75</v>
      </c>
    </row>
    <row r="32" spans="9:23" x14ac:dyDescent="0.2">
      <c r="J32" s="2"/>
      <c r="K32" s="2"/>
      <c r="O32" s="5"/>
      <c r="P32" s="5" t="s">
        <v>68</v>
      </c>
      <c r="Q32" s="5"/>
      <c r="T32" s="2"/>
      <c r="U32" s="2"/>
    </row>
    <row r="33" spans="9:22" x14ac:dyDescent="0.2">
      <c r="J33" s="2"/>
      <c r="K33" s="2"/>
      <c r="O33" s="6"/>
      <c r="P33" s="5">
        <v>44600</v>
      </c>
      <c r="Q33" s="6"/>
      <c r="U33" t="s">
        <v>7</v>
      </c>
      <c r="V33" t="s">
        <v>95</v>
      </c>
    </row>
    <row r="34" spans="9:22" x14ac:dyDescent="0.2">
      <c r="J34" s="4"/>
      <c r="O34" s="7"/>
      <c r="P34" s="6">
        <v>0.91111111111111109</v>
      </c>
      <c r="U34" t="s">
        <v>8</v>
      </c>
      <c r="V34" t="s">
        <v>96</v>
      </c>
    </row>
    <row r="35" spans="9:22" x14ac:dyDescent="0.2">
      <c r="J35" s="1"/>
      <c r="P35" s="6"/>
    </row>
    <row r="39" spans="9:22" x14ac:dyDescent="0.2">
      <c r="I39" t="s">
        <v>10</v>
      </c>
      <c r="J39" t="s">
        <v>97</v>
      </c>
      <c r="K39" s="1"/>
      <c r="S39" s="1"/>
    </row>
    <row r="40" spans="9:22" x14ac:dyDescent="0.2">
      <c r="J40" s="1"/>
      <c r="K40" s="1"/>
      <c r="S40" s="1"/>
    </row>
    <row r="42" spans="9:22" x14ac:dyDescent="0.2">
      <c r="I42" t="s">
        <v>71</v>
      </c>
      <c r="O42" t="s">
        <v>11</v>
      </c>
      <c r="P42" t="s">
        <v>90</v>
      </c>
      <c r="V42" t="s">
        <v>69</v>
      </c>
    </row>
    <row r="43" spans="9:22" x14ac:dyDescent="0.2">
      <c r="I43" s="2"/>
    </row>
    <row r="44" spans="9:22" x14ac:dyDescent="0.2">
      <c r="K44" t="s">
        <v>74</v>
      </c>
      <c r="O44" t="s">
        <v>80</v>
      </c>
      <c r="R44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2026-07-04T04:38:00Z</dcterms:modified>
</cp:coreProperties>
</file>